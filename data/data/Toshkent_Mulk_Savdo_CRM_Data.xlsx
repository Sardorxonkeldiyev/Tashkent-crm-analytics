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jozlar_CRM" sheetId="1" state="visible" r:id="rId1"/>
    <sheet xmlns:r="http://schemas.openxmlformats.org/officeDocument/2006/relationships" name="Shartnomalar_Savdo" sheetId="2" state="visible" r:id="rId2"/>
    <sheet xmlns:r="http://schemas.openxmlformats.org/officeDocument/2006/relationships" name="Toʻlovlar_Tushum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EAECEE"/>
        <bgColor rgb="00EAECEE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A6ACAF"/>
      </top>
      <bottom style="double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4" fillId="6" borderId="2" pivotButton="0" quotePrefix="0" xfId="0"/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165" fontId="4" fillId="6" borderId="2" applyAlignment="1" pivotButton="0" quotePrefix="0" xfId="0">
      <alignment horizontal="right" vertical="center"/>
    </xf>
    <xf numFmtId="9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8" customWidth="1" min="4" max="4"/>
    <col width="22" customWidth="1" min="5" max="5"/>
    <col width="14" customWidth="1" min="6" max="6"/>
  </cols>
  <sheetData>
    <row r="1"/>
    <row r="2" ht="36" customHeight="1">
      <c r="A2" s="1" t="inlineStr">
        <is>
          <t>MIJOZLAR MA'LUMOTLARI BAZASI (CRM)</t>
        </is>
      </c>
    </row>
    <row r="3"/>
    <row r="4" ht="24" customHeight="1">
      <c r="A4" s="2" t="inlineStr">
        <is>
          <t>Mijoz_ID</t>
        </is>
      </c>
      <c r="B4" s="2" t="inlineStr">
        <is>
          <t>Mijoz_Ismi</t>
        </is>
      </c>
      <c r="C4" s="2" t="inlineStr">
        <is>
          <t>Telefon_Kodi</t>
        </is>
      </c>
      <c r="D4" s="2" t="inlineStr">
        <is>
          <t>Mijoz_Turi</t>
        </is>
      </c>
      <c r="E4" s="2" t="inlineStr">
        <is>
          <t>Xarid_Kanal</t>
        </is>
      </c>
      <c r="F4" s="2" t="inlineStr">
        <is>
          <t>Menejer</t>
        </is>
      </c>
    </row>
    <row r="5" ht="19" customHeight="1">
      <c r="A5" s="3" t="inlineStr">
        <is>
          <t>CLI-001</t>
        </is>
      </c>
      <c r="B5" s="4" t="inlineStr">
        <is>
          <t>Sardor Rahimov</t>
        </is>
      </c>
      <c r="C5" s="3" t="inlineStr">
        <is>
          <t>+998 (90)</t>
        </is>
      </c>
      <c r="D5" s="3" t="inlineStr">
        <is>
          <t>Jismoniy Shaxs</t>
        </is>
      </c>
      <c r="E5" s="4" t="inlineStr">
        <is>
          <t>Telegram Bot</t>
        </is>
      </c>
      <c r="F5" s="4" t="inlineStr">
        <is>
          <t>Anvar K.</t>
        </is>
      </c>
    </row>
    <row r="6" ht="19" customHeight="1">
      <c r="A6" s="5" t="inlineStr">
        <is>
          <t>CLI-002</t>
        </is>
      </c>
      <c r="B6" s="6" t="inlineStr">
        <is>
          <t>Madina Umarova</t>
        </is>
      </c>
      <c r="C6" s="5" t="inlineStr">
        <is>
          <t>+998 (91)</t>
        </is>
      </c>
      <c r="D6" s="5" t="inlineStr">
        <is>
          <t>Jismoniy Shaxs</t>
        </is>
      </c>
      <c r="E6" s="6" t="inlineStr">
        <is>
          <t>Instagram Ads</t>
        </is>
      </c>
      <c r="F6" s="6" t="inlineStr">
        <is>
          <t>Dilnoza S.</t>
        </is>
      </c>
    </row>
    <row r="7" ht="19" customHeight="1">
      <c r="A7" s="3" t="inlineStr">
        <is>
          <t>CLI-003</t>
        </is>
      </c>
      <c r="B7" s="4" t="inlineStr">
        <is>
          <t>Diyorbek Alimov</t>
        </is>
      </c>
      <c r="C7" s="3" t="inlineStr">
        <is>
          <t>+998 (93)</t>
        </is>
      </c>
      <c r="D7" s="3" t="inlineStr">
        <is>
          <t>Yuridik Shaxs</t>
        </is>
      </c>
      <c r="E7" s="4" t="inlineStr">
        <is>
          <t>Tashqi Banner</t>
        </is>
      </c>
      <c r="F7" s="4" t="inlineStr">
        <is>
          <t>Anvar K.</t>
        </is>
      </c>
    </row>
    <row r="8" ht="19" customHeight="1">
      <c r="A8" s="5" t="inlineStr">
        <is>
          <t>CLI-004</t>
        </is>
      </c>
      <c r="B8" s="6" t="inlineStr">
        <is>
          <t>Shaxnoza Karimova</t>
        </is>
      </c>
      <c r="C8" s="5" t="inlineStr">
        <is>
          <t>+998 (94)</t>
        </is>
      </c>
      <c r="D8" s="5" t="inlineStr">
        <is>
          <t>Jismoniy Shaxs</t>
        </is>
      </c>
      <c r="E8" s="6" t="inlineStr">
        <is>
          <t>Tavsiya (Referral)</t>
        </is>
      </c>
      <c r="F8" s="6" t="inlineStr">
        <is>
          <t>Bobur M.</t>
        </is>
      </c>
    </row>
    <row r="9" ht="19" customHeight="1">
      <c r="A9" s="3" t="inlineStr">
        <is>
          <t>CLI-005</t>
        </is>
      </c>
      <c r="B9" s="4" t="inlineStr">
        <is>
          <t>Jasur Tojiyev</t>
        </is>
      </c>
      <c r="C9" s="3" t="inlineStr">
        <is>
          <t>+998 (95)</t>
        </is>
      </c>
      <c r="D9" s="3" t="inlineStr">
        <is>
          <t>Jismoniy Shaxs</t>
        </is>
      </c>
      <c r="E9" s="4" t="inlineStr">
        <is>
          <t>Facebook</t>
        </is>
      </c>
      <c r="F9" s="4" t="inlineStr">
        <is>
          <t>Dilnoza S.</t>
        </is>
      </c>
    </row>
    <row r="10" ht="19" customHeight="1">
      <c r="A10" s="5" t="inlineStr">
        <is>
          <t>CLI-006</t>
        </is>
      </c>
      <c r="B10" s="6" t="inlineStr">
        <is>
          <t>Aziza Yoʻldosheva</t>
        </is>
      </c>
      <c r="C10" s="5" t="inlineStr">
        <is>
          <t>+998 (97)</t>
        </is>
      </c>
      <c r="D10" s="5" t="inlineStr">
        <is>
          <t>Jismoniy Shaxs</t>
        </is>
      </c>
      <c r="E10" s="6" t="inlineStr">
        <is>
          <t>Telegram Bot</t>
        </is>
      </c>
      <c r="F10" s="6" t="inlineStr">
        <is>
          <t>Anvar K.</t>
        </is>
      </c>
    </row>
    <row r="11" ht="19" customHeight="1">
      <c r="A11" s="3" t="inlineStr">
        <is>
          <t>CLI-007</t>
        </is>
      </c>
      <c r="B11" s="4" t="inlineStr">
        <is>
          <t>Farrux Xasanov</t>
        </is>
      </c>
      <c r="C11" s="3" t="inlineStr">
        <is>
          <t>+998 (99)</t>
        </is>
      </c>
      <c r="D11" s="3" t="inlineStr">
        <is>
          <t>Yuridik Shaxs</t>
        </is>
      </c>
      <c r="E11" s="4" t="inlineStr">
        <is>
          <t>Veb-sayt</t>
        </is>
      </c>
      <c r="F11" s="4" t="inlineStr">
        <is>
          <t>Bobur M.</t>
        </is>
      </c>
    </row>
    <row r="12" ht="19" customHeight="1">
      <c r="A12" s="5" t="inlineStr">
        <is>
          <t>CLI-008</t>
        </is>
      </c>
      <c r="B12" s="6" t="inlineStr">
        <is>
          <t>Nigora Sultanova</t>
        </is>
      </c>
      <c r="C12" s="5" t="inlineStr">
        <is>
          <t>+998 (90)</t>
        </is>
      </c>
      <c r="D12" s="5" t="inlineStr">
        <is>
          <t>Jismoniy Shaxs</t>
        </is>
      </c>
      <c r="E12" s="6" t="inlineStr">
        <is>
          <t>Instagram Ads</t>
        </is>
      </c>
      <c r="F12" s="6" t="inlineStr">
        <is>
          <t>Dilnoza S.</t>
        </is>
      </c>
    </row>
    <row r="13" ht="19" customHeight="1">
      <c r="A13" s="3" t="inlineStr">
        <is>
          <t>CLI-009</t>
        </is>
      </c>
      <c r="B13" s="4" t="inlineStr">
        <is>
          <t>Otabek Moʻminov</t>
        </is>
      </c>
      <c r="C13" s="3" t="inlineStr">
        <is>
          <t>+998 (93)</t>
        </is>
      </c>
      <c r="D13" s="3" t="inlineStr">
        <is>
          <t>Jismoniy Shaxs</t>
        </is>
      </c>
      <c r="E13" s="4" t="inlineStr">
        <is>
          <t>Veb-sayt</t>
        </is>
      </c>
      <c r="F13" s="4" t="inlineStr">
        <is>
          <t>Bobur M.</t>
        </is>
      </c>
    </row>
    <row r="14" ht="19" customHeight="1">
      <c r="A14" s="5" t="inlineStr">
        <is>
          <t>CLI-010</t>
        </is>
      </c>
      <c r="B14" s="6" t="inlineStr">
        <is>
          <t>Gulnoza Axmedova</t>
        </is>
      </c>
      <c r="C14" s="5" t="inlineStr">
        <is>
          <t>+998 (94)</t>
        </is>
      </c>
      <c r="D14" s="5" t="inlineStr">
        <is>
          <t>Jismoniy Shaxs</t>
        </is>
      </c>
      <c r="E14" s="6" t="inlineStr">
        <is>
          <t>Tashqi Banner</t>
        </is>
      </c>
      <c r="F14" s="6" t="inlineStr">
        <is>
          <t>Anvar K.</t>
        </is>
      </c>
    </row>
    <row r="15" ht="19" customHeight="1">
      <c r="A15" s="3" t="inlineStr">
        <is>
          <t>CLI-011</t>
        </is>
      </c>
      <c r="B15" s="4" t="inlineStr">
        <is>
          <t>Bobur Mansurov</t>
        </is>
      </c>
      <c r="C15" s="3" t="inlineStr">
        <is>
          <t>+998 (97)</t>
        </is>
      </c>
      <c r="D15" s="3" t="inlineStr">
        <is>
          <t>Yuridik Shaxs</t>
        </is>
      </c>
      <c r="E15" s="4" t="inlineStr">
        <is>
          <t>Veb-sayt</t>
        </is>
      </c>
      <c r="F15" s="4" t="inlineStr">
        <is>
          <t>Bobur M.</t>
        </is>
      </c>
    </row>
    <row r="16" ht="19" customHeight="1">
      <c r="A16" s="5" t="inlineStr">
        <is>
          <t>CLI-012</t>
        </is>
      </c>
      <c r="B16" s="6" t="inlineStr">
        <is>
          <t>Zilola Toirova</t>
        </is>
      </c>
      <c r="C16" s="5" t="inlineStr">
        <is>
          <t>+998 (99)</t>
        </is>
      </c>
      <c r="D16" s="5" t="inlineStr">
        <is>
          <t>Jismoniy Shaxs</t>
        </is>
      </c>
      <c r="E16" s="6" t="inlineStr">
        <is>
          <t>Tavsiya (Referral)</t>
        </is>
      </c>
      <c r="F16" s="6" t="inlineStr">
        <is>
          <t>Dilnoza S.</t>
        </is>
      </c>
    </row>
    <row r="17" ht="19" customHeight="1">
      <c r="A17" s="3" t="inlineStr">
        <is>
          <t>CLI-013</t>
        </is>
      </c>
      <c r="B17" s="4" t="inlineStr">
        <is>
          <t>Eldor Shokirov</t>
        </is>
      </c>
      <c r="C17" s="3" t="inlineStr">
        <is>
          <t>+998 (90)</t>
        </is>
      </c>
      <c r="D17" s="3" t="inlineStr">
        <is>
          <t>Jismoniy Shaxs</t>
        </is>
      </c>
      <c r="E17" s="4" t="inlineStr">
        <is>
          <t>Instagram Ads</t>
        </is>
      </c>
      <c r="F17" s="4" t="inlineStr">
        <is>
          <t>Anvar K.</t>
        </is>
      </c>
    </row>
    <row r="18" ht="19" customHeight="1">
      <c r="A18" s="5" t="inlineStr">
        <is>
          <t>CLI-014</t>
        </is>
      </c>
      <c r="B18" s="6" t="inlineStr">
        <is>
          <t>Malika Fayziyeva</t>
        </is>
      </c>
      <c r="C18" s="5" t="inlineStr">
        <is>
          <t>+998 (91)</t>
        </is>
      </c>
      <c r="D18" s="5" t="inlineStr">
        <is>
          <t>Jismoniy Shaxs</t>
        </is>
      </c>
      <c r="E18" s="6" t="inlineStr">
        <is>
          <t>Telegram Bot</t>
        </is>
      </c>
      <c r="F18" s="6" t="inlineStr">
        <is>
          <t>Dilnoza S.</t>
        </is>
      </c>
    </row>
    <row r="19" ht="19" customHeight="1">
      <c r="A19" s="3" t="inlineStr">
        <is>
          <t>CLI-015</t>
        </is>
      </c>
      <c r="B19" s="4" t="inlineStr">
        <is>
          <t>Sanjar Ismoilov</t>
        </is>
      </c>
      <c r="C19" s="3" t="inlineStr">
        <is>
          <t>+998 (95)</t>
        </is>
      </c>
      <c r="D19" s="3" t="inlineStr">
        <is>
          <t>Yuridik Shaxs</t>
        </is>
      </c>
      <c r="E19" s="4" t="inlineStr">
        <is>
          <t>Facebook</t>
        </is>
      </c>
      <c r="F19" s="4" t="inlineStr">
        <is>
          <t>Bobur M.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4" customWidth="1" min="3" max="3"/>
    <col width="13" customWidth="1" min="4" max="4"/>
    <col width="16" customWidth="1" min="5" max="5"/>
    <col width="20" customWidth="1" min="6" max="6"/>
    <col width="16" customWidth="1" min="7" max="7"/>
    <col width="20" customWidth="1" min="8" max="8"/>
    <col width="20" customWidth="1" min="9" max="9"/>
  </cols>
  <sheetData>
    <row r="1"/>
    <row r="2" ht="36" customHeight="1">
      <c r="A2" s="1" t="inlineStr">
        <is>
          <t>SHARTNOMALAR VA SOTUV ANALITIKASI</t>
        </is>
      </c>
    </row>
    <row r="3"/>
    <row r="4" ht="24" customHeight="1">
      <c r="A4" s="2" t="inlineStr">
        <is>
          <t>Shartnoma_ID</t>
        </is>
      </c>
      <c r="B4" s="2" t="inlineStr">
        <is>
          <t>Mijoz_ID</t>
        </is>
      </c>
      <c r="C4" s="2" t="inlineStr">
        <is>
          <t>Loyiha_Nomi</t>
        </is>
      </c>
      <c r="D4" s="2" t="inlineStr">
        <is>
          <t>Xona_Soni</t>
        </is>
      </c>
      <c r="E4" s="2" t="inlineStr">
        <is>
          <t>Kvadrat_Metr</t>
        </is>
      </c>
      <c r="F4" s="2" t="inlineStr">
        <is>
          <t>1_kv_m_Narxi_USD</t>
        </is>
      </c>
      <c r="G4" s="2" t="inlineStr">
        <is>
          <t>Toʻlov_Usubi</t>
        </is>
      </c>
      <c r="H4" s="2" t="inlineStr">
        <is>
          <t>Shartnoma_Sanasi</t>
        </is>
      </c>
      <c r="I4" s="2" t="inlineStr">
        <is>
          <t>Jami_Qiymati_USD</t>
        </is>
      </c>
    </row>
    <row r="5" ht="19" customHeight="1">
      <c r="A5" s="3" t="inlineStr">
        <is>
          <t>SH-2024-01</t>
        </is>
      </c>
      <c r="B5" s="3" t="inlineStr">
        <is>
          <t>CLI-001</t>
        </is>
      </c>
      <c r="C5" s="4" t="inlineStr">
        <is>
          <t>Yunusobod Sky Towers</t>
        </is>
      </c>
      <c r="D5" s="7" t="n">
        <v>2</v>
      </c>
      <c r="E5" s="8" t="n">
        <v>68.5</v>
      </c>
      <c r="F5" s="9" t="n">
        <v>950</v>
      </c>
      <c r="G5" s="4" t="inlineStr">
        <is>
          <t>100% Naqd</t>
        </is>
      </c>
      <c r="H5" s="3" t="inlineStr">
        <is>
          <t>2024-01-12</t>
        </is>
      </c>
      <c r="I5" s="9">
        <f>E5*F5</f>
        <v/>
      </c>
    </row>
    <row r="6" ht="19" customHeight="1">
      <c r="A6" s="5" t="inlineStr">
        <is>
          <t>SH-2024-02</t>
        </is>
      </c>
      <c r="B6" s="5" t="inlineStr">
        <is>
          <t>CLI-002</t>
        </is>
      </c>
      <c r="C6" s="6" t="inlineStr">
        <is>
          <t>Chilonzor Smart City</t>
        </is>
      </c>
      <c r="D6" s="10" t="n">
        <v>3</v>
      </c>
      <c r="E6" s="11" t="n">
        <v>92</v>
      </c>
      <c r="F6" s="12" t="n">
        <v>880</v>
      </c>
      <c r="G6" s="6" t="inlineStr">
        <is>
          <t>Muddatli Toʻlov</t>
        </is>
      </c>
      <c r="H6" s="5" t="inlineStr">
        <is>
          <t>2024-01-25</t>
        </is>
      </c>
      <c r="I6" s="12">
        <f>E6*F6</f>
        <v/>
      </c>
    </row>
    <row r="7" ht="19" customHeight="1">
      <c r="A7" s="3" t="inlineStr">
        <is>
          <t>SH-2024-03</t>
        </is>
      </c>
      <c r="B7" s="3" t="inlineStr">
        <is>
          <t>CLI-003</t>
        </is>
      </c>
      <c r="C7" s="4" t="inlineStr">
        <is>
          <t>Mirobod Premium Plaza</t>
        </is>
      </c>
      <c r="D7" s="7" t="n">
        <v>4</v>
      </c>
      <c r="E7" s="8" t="n">
        <v>124.5</v>
      </c>
      <c r="F7" s="9" t="n">
        <v>1300</v>
      </c>
      <c r="G7" s="4" t="inlineStr">
        <is>
          <t>Ipoteka</t>
        </is>
      </c>
      <c r="H7" s="3" t="inlineStr">
        <is>
          <t>2024-02-05</t>
        </is>
      </c>
      <c r="I7" s="9">
        <f>E7*F7</f>
        <v/>
      </c>
    </row>
    <row r="8" ht="19" customHeight="1">
      <c r="A8" s="5" t="inlineStr">
        <is>
          <t>SH-2024-04</t>
        </is>
      </c>
      <c r="B8" s="5" t="inlineStr">
        <is>
          <t>CLI-004</t>
        </is>
      </c>
      <c r="C8" s="6" t="inlineStr">
        <is>
          <t>Sergeli Eco District</t>
        </is>
      </c>
      <c r="D8" s="10" t="n">
        <v>1</v>
      </c>
      <c r="E8" s="11" t="n">
        <v>42</v>
      </c>
      <c r="F8" s="12" t="n">
        <v>720</v>
      </c>
      <c r="G8" s="6" t="inlineStr">
        <is>
          <t>Muddatli Toʻlov</t>
        </is>
      </c>
      <c r="H8" s="5" t="inlineStr">
        <is>
          <t>2024-02-18</t>
        </is>
      </c>
      <c r="I8" s="12">
        <f>E8*F8</f>
        <v/>
      </c>
    </row>
    <row r="9" ht="19" customHeight="1">
      <c r="A9" s="3" t="inlineStr">
        <is>
          <t>SH-2024-05</t>
        </is>
      </c>
      <c r="B9" s="3" t="inlineStr">
        <is>
          <t>CLI-005</t>
        </is>
      </c>
      <c r="C9" s="4" t="inlineStr">
        <is>
          <t>Yakkasaray Business Hub</t>
        </is>
      </c>
      <c r="D9" s="7" t="n">
        <v>3</v>
      </c>
      <c r="E9" s="8" t="n">
        <v>88</v>
      </c>
      <c r="F9" s="9" t="n">
        <v>1100</v>
      </c>
      <c r="G9" s="4" t="inlineStr">
        <is>
          <t>100% Naqd</t>
        </is>
      </c>
      <c r="H9" s="3" t="inlineStr">
        <is>
          <t>2024-03-02</t>
        </is>
      </c>
      <c r="I9" s="9">
        <f>E9*F9</f>
        <v/>
      </c>
    </row>
    <row r="10" ht="19" customHeight="1">
      <c r="A10" s="5" t="inlineStr">
        <is>
          <t>SH-2024-06</t>
        </is>
      </c>
      <c r="B10" s="5" t="inlineStr">
        <is>
          <t>CLI-006</t>
        </is>
      </c>
      <c r="C10" s="6" t="inlineStr">
        <is>
          <t>Yunusobod Sky Towers</t>
        </is>
      </c>
      <c r="D10" s="10" t="n">
        <v>2</v>
      </c>
      <c r="E10" s="11" t="n">
        <v>71</v>
      </c>
      <c r="F10" s="12" t="n">
        <v>960</v>
      </c>
      <c r="G10" s="6" t="inlineStr">
        <is>
          <t>Ipoteka</t>
        </is>
      </c>
      <c r="H10" s="5" t="inlineStr">
        <is>
          <t>2024-03-15</t>
        </is>
      </c>
      <c r="I10" s="12">
        <f>E10*F10</f>
        <v/>
      </c>
    </row>
    <row r="11" ht="19" customHeight="1">
      <c r="A11" s="3" t="inlineStr">
        <is>
          <t>SH-2024-07</t>
        </is>
      </c>
      <c r="B11" s="3" t="inlineStr">
        <is>
          <t>CLI-007</t>
        </is>
      </c>
      <c r="C11" s="4" t="inlineStr">
        <is>
          <t>Mirobod Premium Plaza</t>
        </is>
      </c>
      <c r="D11" s="7" t="n">
        <v>5</v>
      </c>
      <c r="E11" s="8" t="n">
        <v>165</v>
      </c>
      <c r="F11" s="9" t="n">
        <v>1400</v>
      </c>
      <c r="G11" s="4" t="inlineStr">
        <is>
          <t>100% Naqd</t>
        </is>
      </c>
      <c r="H11" s="3" t="inlineStr">
        <is>
          <t>2024-04-01</t>
        </is>
      </c>
      <c r="I11" s="9">
        <f>E11*F11</f>
        <v/>
      </c>
    </row>
    <row r="12" ht="19" customHeight="1">
      <c r="A12" s="5" t="inlineStr">
        <is>
          <t>SH-2024-08</t>
        </is>
      </c>
      <c r="B12" s="5" t="inlineStr">
        <is>
          <t>CLI-008</t>
        </is>
      </c>
      <c r="C12" s="6" t="inlineStr">
        <is>
          <t>Chilonzor Smart City</t>
        </is>
      </c>
      <c r="D12" s="10" t="n">
        <v>2</v>
      </c>
      <c r="E12" s="11" t="n">
        <v>65</v>
      </c>
      <c r="F12" s="12" t="n">
        <v>890</v>
      </c>
      <c r="G12" s="6" t="inlineStr">
        <is>
          <t>Muddatli Toʻlov</t>
        </is>
      </c>
      <c r="H12" s="5" t="inlineStr">
        <is>
          <t>2024-04-10</t>
        </is>
      </c>
      <c r="I12" s="12">
        <f>E12*F12</f>
        <v/>
      </c>
    </row>
    <row r="13" ht="19" customHeight="1">
      <c r="A13" s="3" t="inlineStr">
        <is>
          <t>SH-2024-09</t>
        </is>
      </c>
      <c r="B13" s="3" t="inlineStr">
        <is>
          <t>CLI-009</t>
        </is>
      </c>
      <c r="C13" s="4" t="inlineStr">
        <is>
          <t>Sergeli Eco District</t>
        </is>
      </c>
      <c r="D13" s="7" t="n">
        <v>3</v>
      </c>
      <c r="E13" s="8" t="n">
        <v>94.5</v>
      </c>
      <c r="F13" s="9" t="n">
        <v>730</v>
      </c>
      <c r="G13" s="4" t="inlineStr">
        <is>
          <t>Ipoteka</t>
        </is>
      </c>
      <c r="H13" s="3" t="inlineStr">
        <is>
          <t>2024-04-28</t>
        </is>
      </c>
      <c r="I13" s="9">
        <f>E13*F13</f>
        <v/>
      </c>
    </row>
    <row r="14" ht="19" customHeight="1">
      <c r="A14" s="5" t="inlineStr">
        <is>
          <t>SH-2024-10</t>
        </is>
      </c>
      <c r="B14" s="5" t="inlineStr">
        <is>
          <t>CLI-010</t>
        </is>
      </c>
      <c r="C14" s="6" t="inlineStr">
        <is>
          <t>Yakkasaray Business Hub</t>
        </is>
      </c>
      <c r="D14" s="10" t="n">
        <v>1</v>
      </c>
      <c r="E14" s="11" t="n">
        <v>45</v>
      </c>
      <c r="F14" s="12" t="n">
        <v>1050</v>
      </c>
      <c r="G14" s="6" t="inlineStr">
        <is>
          <t>100% Naqd</t>
        </is>
      </c>
      <c r="H14" s="5" t="inlineStr">
        <is>
          <t>2024-05-05</t>
        </is>
      </c>
      <c r="I14" s="12">
        <f>E14*F14</f>
        <v/>
      </c>
    </row>
    <row r="15" ht="19" customHeight="1">
      <c r="A15" s="3" t="inlineStr">
        <is>
          <t>SH-2024-11</t>
        </is>
      </c>
      <c r="B15" s="3" t="inlineStr">
        <is>
          <t>CLI-011</t>
        </is>
      </c>
      <c r="C15" s="4" t="inlineStr">
        <is>
          <t>Mirobod Premium Plaza</t>
        </is>
      </c>
      <c r="D15" s="7" t="n">
        <v>4</v>
      </c>
      <c r="E15" s="8" t="n">
        <v>132</v>
      </c>
      <c r="F15" s="9" t="n">
        <v>1350</v>
      </c>
      <c r="G15" s="4" t="inlineStr">
        <is>
          <t>Muddatli Toʻlov</t>
        </is>
      </c>
      <c r="H15" s="3" t="inlineStr">
        <is>
          <t>2024-05-22</t>
        </is>
      </c>
      <c r="I15" s="9">
        <f>E15*F15</f>
        <v/>
      </c>
    </row>
    <row r="16" ht="19" customHeight="1">
      <c r="A16" s="5" t="inlineStr">
        <is>
          <t>SH-2024-12</t>
        </is>
      </c>
      <c r="B16" s="5" t="inlineStr">
        <is>
          <t>CLI-012</t>
        </is>
      </c>
      <c r="C16" s="6" t="inlineStr">
        <is>
          <t>Yunusobod Sky Towers</t>
        </is>
      </c>
      <c r="D16" s="10" t="n">
        <v>2</v>
      </c>
      <c r="E16" s="11" t="n">
        <v>70</v>
      </c>
      <c r="F16" s="12" t="n">
        <v>950</v>
      </c>
      <c r="G16" s="6" t="inlineStr">
        <is>
          <t>100% Naqd</t>
        </is>
      </c>
      <c r="H16" s="5" t="inlineStr">
        <is>
          <t>2024-06-02</t>
        </is>
      </c>
      <c r="I16" s="12">
        <f>E16*F16</f>
        <v/>
      </c>
    </row>
    <row r="17" ht="19" customHeight="1">
      <c r="A17" s="3" t="inlineStr">
        <is>
          <t>SH-2024-13</t>
        </is>
      </c>
      <c r="B17" s="3" t="inlineStr">
        <is>
          <t>CLI-013</t>
        </is>
      </c>
      <c r="C17" s="4" t="inlineStr">
        <is>
          <t>Chilonzor Smart City</t>
        </is>
      </c>
      <c r="D17" s="7" t="n">
        <v>3</v>
      </c>
      <c r="E17" s="8" t="n">
        <v>89.5</v>
      </c>
      <c r="F17" s="9" t="n">
        <v>880</v>
      </c>
      <c r="G17" s="4" t="inlineStr">
        <is>
          <t>Muddatli Toʻlov</t>
        </is>
      </c>
      <c r="H17" s="3" t="inlineStr">
        <is>
          <t>2024-06-14</t>
        </is>
      </c>
      <c r="I17" s="9">
        <f>E17*F17</f>
        <v/>
      </c>
    </row>
    <row r="18" ht="19" customHeight="1">
      <c r="A18" s="5" t="inlineStr">
        <is>
          <t>SH-2024-14</t>
        </is>
      </c>
      <c r="B18" s="5" t="inlineStr">
        <is>
          <t>CLI-014</t>
        </is>
      </c>
      <c r="C18" s="6" t="inlineStr">
        <is>
          <t>Sergeli Eco District</t>
        </is>
      </c>
      <c r="D18" s="10" t="n">
        <v>2</v>
      </c>
      <c r="E18" s="11" t="n">
        <v>62</v>
      </c>
      <c r="F18" s="12" t="n">
        <v>710</v>
      </c>
      <c r="G18" s="6" t="inlineStr">
        <is>
          <t>Ipoteka</t>
        </is>
      </c>
      <c r="H18" s="5" t="inlineStr">
        <is>
          <t>2024-06-29</t>
        </is>
      </c>
      <c r="I18" s="12">
        <f>E18*F18</f>
        <v/>
      </c>
    </row>
    <row r="19" ht="19" customHeight="1">
      <c r="A19" s="3" t="inlineStr">
        <is>
          <t>SH-2024-15</t>
        </is>
      </c>
      <c r="B19" s="3" t="inlineStr">
        <is>
          <t>CLI-015</t>
        </is>
      </c>
      <c r="C19" s="4" t="inlineStr">
        <is>
          <t>Yakkasaray Business Hub</t>
        </is>
      </c>
      <c r="D19" s="7" t="n">
        <v>4</v>
      </c>
      <c r="E19" s="8" t="n">
        <v>145</v>
      </c>
      <c r="F19" s="9" t="n">
        <v>1150</v>
      </c>
      <c r="G19" s="4" t="inlineStr">
        <is>
          <t>100% Naqd</t>
        </is>
      </c>
      <c r="H19" s="3" t="inlineStr">
        <is>
          <t>2024-07-04</t>
        </is>
      </c>
      <c r="I19" s="9">
        <f>E19*F19</f>
        <v/>
      </c>
    </row>
    <row r="20" ht="22" customHeight="1">
      <c r="A20" s="13" t="n"/>
      <c r="B20" s="14" t="inlineStr">
        <is>
          <t>Jami / Oʻrtacha</t>
        </is>
      </c>
      <c r="C20" s="13" t="n"/>
      <c r="D20" s="13" t="n"/>
      <c r="E20" s="15">
        <f>SUM(E5:E19)</f>
        <v/>
      </c>
      <c r="F20" s="16">
        <f>AVERAGE(F5:F19)</f>
        <v/>
      </c>
      <c r="G20" s="13" t="n"/>
      <c r="H20" s="13" t="n"/>
      <c r="I20" s="16">
        <f>SUM(I5:I19)</f>
        <v/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21" customWidth="1" min="4" max="4"/>
    <col width="27" customWidth="1" min="5" max="5"/>
    <col width="18" customWidth="1" min="6" max="6"/>
    <col width="20" customWidth="1" min="7" max="7"/>
  </cols>
  <sheetData>
    <row r="1"/>
    <row r="2" ht="36" customHeight="1">
      <c r="A2" s="1" t="inlineStr">
        <is>
          <t>MABLAG'LAR TUSHUMI VA DEBITOR QARZDORLIK</t>
        </is>
      </c>
    </row>
    <row r="3"/>
    <row r="4" ht="24" customHeight="1">
      <c r="A4" s="2" t="inlineStr">
        <is>
          <t>Toʻlov_ID</t>
        </is>
      </c>
      <c r="B4" s="2" t="inlineStr">
        <is>
          <t>Shartnoma_ID</t>
        </is>
      </c>
      <c r="C4" s="2" t="inlineStr">
        <is>
          <t>Birinchi_Brid_Foiz</t>
        </is>
      </c>
      <c r="D4" s="2" t="inlineStr">
        <is>
          <t>Kelib_Tushgan_USD</t>
        </is>
      </c>
      <c r="E4" s="2" t="inlineStr">
        <is>
          <t>Kutilayotgan_Qoldiq_USD</t>
        </is>
      </c>
      <c r="F4" s="2" t="inlineStr">
        <is>
          <t>Oxirgi_Toʻlov_Sanasi</t>
        </is>
      </c>
      <c r="G4" s="2" t="inlineStr">
        <is>
          <t>Status</t>
        </is>
      </c>
    </row>
    <row r="5" ht="19" customHeight="1">
      <c r="A5" s="3" t="inlineStr">
        <is>
          <t>PAY-001</t>
        </is>
      </c>
      <c r="B5" s="3" t="inlineStr">
        <is>
          <t>SH-2024-01</t>
        </is>
      </c>
      <c r="C5" s="17" t="n">
        <v>1</v>
      </c>
      <c r="D5" s="9" t="n">
        <v>65075</v>
      </c>
      <c r="E5" s="18" t="n">
        <v>0</v>
      </c>
      <c r="F5" s="3" t="inlineStr">
        <is>
          <t>2024-01-15</t>
        </is>
      </c>
      <c r="G5" s="7" t="inlineStr">
        <is>
          <t>Toʻliq Toʻlangan</t>
        </is>
      </c>
    </row>
    <row r="6" ht="19" customHeight="1">
      <c r="A6" s="5" t="inlineStr">
        <is>
          <t>PAY-002</t>
        </is>
      </c>
      <c r="B6" s="5" t="inlineStr">
        <is>
          <t>SH-2024-02</t>
        </is>
      </c>
      <c r="C6" s="19" t="n">
        <v>0.3</v>
      </c>
      <c r="D6" s="12" t="n">
        <v>24288</v>
      </c>
      <c r="E6" s="20" t="n">
        <v>56672</v>
      </c>
      <c r="F6" s="5" t="inlineStr">
        <is>
          <t>2024-02-25</t>
        </is>
      </c>
      <c r="G6" s="10" t="inlineStr">
        <is>
          <t>Kutilmoqda</t>
        </is>
      </c>
    </row>
    <row r="7" ht="19" customHeight="1">
      <c r="A7" s="3" t="inlineStr">
        <is>
          <t>PAY-003</t>
        </is>
      </c>
      <c r="B7" s="3" t="inlineStr">
        <is>
          <t>SH-2024-03</t>
        </is>
      </c>
      <c r="C7" s="17" t="n">
        <v>0.25</v>
      </c>
      <c r="D7" s="9" t="n">
        <v>39343</v>
      </c>
      <c r="E7" s="18" t="n">
        <v>118031</v>
      </c>
      <c r="F7" s="3" t="inlineStr">
        <is>
          <t>2024-03-01</t>
        </is>
      </c>
      <c r="G7" s="7" t="inlineStr">
        <is>
          <t>Kutilmoqda</t>
        </is>
      </c>
    </row>
    <row r="8" ht="19" customHeight="1">
      <c r="A8" s="5" t="inlineStr">
        <is>
          <t>PAY-004</t>
        </is>
      </c>
      <c r="B8" s="5" t="inlineStr">
        <is>
          <t>SH-2024-04</t>
        </is>
      </c>
      <c r="C8" s="19" t="n">
        <v>0.4</v>
      </c>
      <c r="D8" s="12" t="n">
        <v>12096</v>
      </c>
      <c r="E8" s="20" t="n">
        <v>18144</v>
      </c>
      <c r="F8" s="5" t="inlineStr">
        <is>
          <t>2024-03-20</t>
        </is>
      </c>
      <c r="G8" s="10" t="inlineStr">
        <is>
          <t>Kutilmoqda</t>
        </is>
      </c>
    </row>
    <row r="9" ht="19" customHeight="1">
      <c r="A9" s="3" t="inlineStr">
        <is>
          <t>PAY-005</t>
        </is>
      </c>
      <c r="B9" s="3" t="inlineStr">
        <is>
          <t>SH-2024-05</t>
        </is>
      </c>
      <c r="C9" s="17" t="n">
        <v>1</v>
      </c>
      <c r="D9" s="9" t="n">
        <v>96800</v>
      </c>
      <c r="E9" s="18" t="n">
        <v>0</v>
      </c>
      <c r="F9" s="3" t="inlineStr">
        <is>
          <t>2024-03-05</t>
        </is>
      </c>
      <c r="G9" s="7" t="inlineStr">
        <is>
          <t>Toʻliq Toʻlangan</t>
        </is>
      </c>
    </row>
    <row r="10" ht="19" customHeight="1">
      <c r="A10" s="5" t="inlineStr">
        <is>
          <t>PAY-006</t>
        </is>
      </c>
      <c r="B10" s="5" t="inlineStr">
        <is>
          <t>SH-2024-06</t>
        </is>
      </c>
      <c r="C10" s="19" t="n">
        <v>0.25</v>
      </c>
      <c r="D10" s="12" t="n">
        <v>17040</v>
      </c>
      <c r="E10" s="20" t="n">
        <v>51120</v>
      </c>
      <c r="F10" s="5" t="inlineStr">
        <is>
          <t>2024-04-10</t>
        </is>
      </c>
      <c r="G10" s="10" t="inlineStr">
        <is>
          <t>Kutilmoqda</t>
        </is>
      </c>
    </row>
    <row r="11" ht="19" customHeight="1">
      <c r="A11" s="3" t="inlineStr">
        <is>
          <t>PAY-007</t>
        </is>
      </c>
      <c r="B11" s="3" t="inlineStr">
        <is>
          <t>SH-2024-07</t>
        </is>
      </c>
      <c r="C11" s="17" t="n">
        <v>1</v>
      </c>
      <c r="D11" s="9" t="n">
        <v>231000</v>
      </c>
      <c r="E11" s="18" t="n">
        <v>0</v>
      </c>
      <c r="F11" s="3" t="inlineStr">
        <is>
          <t>2024-04-03</t>
        </is>
      </c>
      <c r="G11" s="7" t="inlineStr">
        <is>
          <t>Toʻliq Toʻlangan</t>
        </is>
      </c>
    </row>
    <row r="12" ht="19" customHeight="1">
      <c r="A12" s="5" t="inlineStr">
        <is>
          <t>PAY-008</t>
        </is>
      </c>
      <c r="B12" s="5" t="inlineStr">
        <is>
          <t>SH-2024-08</t>
        </is>
      </c>
      <c r="C12" s="19" t="n">
        <v>0.3</v>
      </c>
      <c r="D12" s="12" t="n">
        <v>17355</v>
      </c>
      <c r="E12" s="20" t="n">
        <v>40495</v>
      </c>
      <c r="F12" s="5" t="inlineStr">
        <is>
          <t>2024-05-12</t>
        </is>
      </c>
      <c r="G12" s="10" t="inlineStr">
        <is>
          <t>Kutilmoqda</t>
        </is>
      </c>
    </row>
    <row r="13" ht="19" customHeight="1">
      <c r="A13" s="3" t="inlineStr">
        <is>
          <t>PAY-009</t>
        </is>
      </c>
      <c r="B13" s="3" t="inlineStr">
        <is>
          <t>SH-2024-09</t>
        </is>
      </c>
      <c r="C13" s="17" t="n">
        <v>0.25</v>
      </c>
      <c r="D13" s="9" t="n">
        <v>17246</v>
      </c>
      <c r="E13" s="18" t="n">
        <v>51738</v>
      </c>
      <c r="F13" s="3" t="inlineStr">
        <is>
          <t>2024-05-15</t>
        </is>
      </c>
      <c r="G13" s="7" t="inlineStr">
        <is>
          <t>Kutilmoqda</t>
        </is>
      </c>
    </row>
    <row r="14" ht="19" customHeight="1">
      <c r="A14" s="5" t="inlineStr">
        <is>
          <t>PAY-010</t>
        </is>
      </c>
      <c r="B14" s="5" t="inlineStr">
        <is>
          <t>SH-2024-10</t>
        </is>
      </c>
      <c r="C14" s="19" t="n">
        <v>1</v>
      </c>
      <c r="D14" s="12" t="n">
        <v>47250</v>
      </c>
      <c r="E14" s="20" t="n">
        <v>0</v>
      </c>
      <c r="F14" s="5" t="inlineStr">
        <is>
          <t>2024-05-07</t>
        </is>
      </c>
      <c r="G14" s="10" t="inlineStr">
        <is>
          <t>Toʻliq Toʻlangan</t>
        </is>
      </c>
    </row>
    <row r="15" ht="19" customHeight="1">
      <c r="A15" s="3" t="inlineStr">
        <is>
          <t>PAY-011</t>
        </is>
      </c>
      <c r="B15" s="3" t="inlineStr">
        <is>
          <t>SH-2024-11</t>
        </is>
      </c>
      <c r="C15" s="17" t="n">
        <v>0.5</v>
      </c>
      <c r="D15" s="9" t="n">
        <v>89100</v>
      </c>
      <c r="E15" s="18" t="n">
        <v>89100</v>
      </c>
      <c r="F15" s="3" t="inlineStr">
        <is>
          <t>2024-06-15</t>
        </is>
      </c>
      <c r="G15" s="7" t="inlineStr">
        <is>
          <t>Kutilmoqda</t>
        </is>
      </c>
    </row>
    <row r="16" ht="19" customHeight="1">
      <c r="A16" s="5" t="inlineStr">
        <is>
          <t>PAY-012</t>
        </is>
      </c>
      <c r="B16" s="5" t="inlineStr">
        <is>
          <t>SH-2024-12</t>
        </is>
      </c>
      <c r="C16" s="19" t="n">
        <v>1</v>
      </c>
      <c r="D16" s="12" t="n">
        <v>66500</v>
      </c>
      <c r="E16" s="20" t="n">
        <v>0</v>
      </c>
      <c r="F16" s="5" t="inlineStr">
        <is>
          <t>2024-06-05</t>
        </is>
      </c>
      <c r="G16" s="10" t="inlineStr">
        <is>
          <t>Toʻliq Toʻlangan</t>
        </is>
      </c>
    </row>
    <row r="17" ht="19" customHeight="1">
      <c r="A17" s="3" t="inlineStr">
        <is>
          <t>PAY-013</t>
        </is>
      </c>
      <c r="B17" s="3" t="inlineStr">
        <is>
          <t>SH-2024-13</t>
        </is>
      </c>
      <c r="C17" s="17" t="n">
        <v>0.3</v>
      </c>
      <c r="D17" s="9" t="n">
        <v>23628</v>
      </c>
      <c r="E17" s="18" t="n">
        <v>55132</v>
      </c>
      <c r="F17" s="3" t="inlineStr">
        <is>
          <t>2024-07-10</t>
        </is>
      </c>
      <c r="G17" s="7" t="inlineStr">
        <is>
          <t>Kutilmoqda</t>
        </is>
      </c>
    </row>
    <row r="18" ht="19" customHeight="1">
      <c r="A18" s="5" t="inlineStr">
        <is>
          <t>PAY-014</t>
        </is>
      </c>
      <c r="B18" s="5" t="inlineStr">
        <is>
          <t>SH-2024-14</t>
        </is>
      </c>
      <c r="C18" s="19" t="n">
        <v>0.25</v>
      </c>
      <c r="D18" s="12" t="n">
        <v>11005</v>
      </c>
      <c r="E18" s="20" t="n">
        <v>33015</v>
      </c>
      <c r="F18" s="5" t="inlineStr">
        <is>
          <t>2024-07-12</t>
        </is>
      </c>
      <c r="G18" s="10" t="inlineStr">
        <is>
          <t>Kutilmoqda</t>
        </is>
      </c>
    </row>
    <row r="19" ht="19" customHeight="1">
      <c r="A19" s="3" t="inlineStr">
        <is>
          <t>PAY-015</t>
        </is>
      </c>
      <c r="B19" s="3" t="inlineStr">
        <is>
          <t>SH-2024-15</t>
        </is>
      </c>
      <c r="C19" s="17" t="n">
        <v>1</v>
      </c>
      <c r="D19" s="9" t="n">
        <v>166750</v>
      </c>
      <c r="E19" s="18" t="n">
        <v>0</v>
      </c>
      <c r="F19" s="3" t="inlineStr">
        <is>
          <t>2024-07-06</t>
        </is>
      </c>
      <c r="G19" s="7" t="inlineStr">
        <is>
          <t>Toʻliq Toʻlangan</t>
        </is>
      </c>
    </row>
    <row r="20" ht="22" customHeight="1">
      <c r="A20" s="13" t="n"/>
      <c r="B20" s="14" t="inlineStr">
        <is>
          <t>Jami</t>
        </is>
      </c>
      <c r="C20" s="13" t="n"/>
      <c r="D20" s="16">
        <f>SUM(D5:D19)</f>
        <v/>
      </c>
      <c r="E20" s="16">
        <f>SUM(E5:E19)</f>
        <v/>
      </c>
      <c r="F20" s="13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2026-05-22T09:22:12Z</dcterms:created>
  <dcterms:modified xmlns:dcterms="http://purl.org/dc/terms/" xmlns:xsi="http://www.w3.org/2001/XMLSchema-instance" xsi:type="dcterms:W3CDTF">2026-05-22T09:22:12Z</dcterms:modified>
</cp:coreProperties>
</file>